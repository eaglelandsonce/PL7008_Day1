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aty Register" sheetId="1" state="visible" r:id="rId3"/>
    <sheet name="Claims Bordereau" sheetId="2" state="visible" r:id="rId4"/>
    <sheet name="Portfolio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<sst xmlns="http://schemas.openxmlformats.org/spreadsheetml/2006/main" count="243" uniqueCount="131">
  <si>
    <t xml:space="preserve">Treaty ID</t>
  </si>
  <si>
    <t xml:space="preserve">Cedent</t>
  </si>
  <si>
    <t xml:space="preserve">Line of Business</t>
  </si>
  <si>
    <t xml:space="preserve">Treaty Type</t>
  </si>
  <si>
    <t xml:space="preserve">Structure</t>
  </si>
  <si>
    <t xml:space="preserve">Inception</t>
  </si>
  <si>
    <t xml:space="preserve">Expiry</t>
  </si>
  <si>
    <t xml:space="preserve">Gross Premium ($m)</t>
  </si>
  <si>
    <t xml:space="preserve">Cession / Rate (%)</t>
  </si>
  <si>
    <t xml:space="preserve">Ceded Premium ($m)</t>
  </si>
  <si>
    <t xml:space="preserve">Limit ($m)</t>
  </si>
  <si>
    <t xml:space="preserve">Retention ($m)</t>
  </si>
  <si>
    <t xml:space="preserve">Broker</t>
  </si>
  <si>
    <t xml:space="preserve">Status</t>
  </si>
  <si>
    <t xml:space="preserve">MR-2026-001</t>
  </si>
  <si>
    <t xml:space="preserve">Northbridge Insurance Co</t>
  </si>
  <si>
    <t xml:space="preserve">Property Catastrophe</t>
  </si>
  <si>
    <t xml:space="preserve">Non-Proportional</t>
  </si>
  <si>
    <t xml:space="preserve">Cat XL</t>
  </si>
  <si>
    <t xml:space="preserve">2026-01-01</t>
  </si>
  <si>
    <t xml:space="preserve">2026-12-31</t>
  </si>
  <si>
    <t xml:space="preserve">Aon</t>
  </si>
  <si>
    <t xml:space="preserve">In Force</t>
  </si>
  <si>
    <t xml:space="preserve">MR-2026-002</t>
  </si>
  <si>
    <t xml:space="preserve">Pacific Shield Mutual</t>
  </si>
  <si>
    <t xml:space="preserve">Guy Carpenter</t>
  </si>
  <si>
    <t xml:space="preserve">MR-2026-003</t>
  </si>
  <si>
    <t xml:space="preserve">Ironclad P&amp;C</t>
  </si>
  <si>
    <t xml:space="preserve">Casualty</t>
  </si>
  <si>
    <t xml:space="preserve">Proportional</t>
  </si>
  <si>
    <t xml:space="preserve">Quota Share</t>
  </si>
  <si>
    <t xml:space="preserve">Howden Re</t>
  </si>
  <si>
    <t xml:space="preserve">MR-2026-004</t>
  </si>
  <si>
    <t xml:space="preserve">Per Risk XL</t>
  </si>
  <si>
    <t xml:space="preserve">MR-2026-005</t>
  </si>
  <si>
    <t xml:space="preserve">Coastal Homes Insurance</t>
  </si>
  <si>
    <t xml:space="preserve">Homeowners</t>
  </si>
  <si>
    <t xml:space="preserve">2026-06-01</t>
  </si>
  <si>
    <t xml:space="preserve">2027-05-31</t>
  </si>
  <si>
    <t xml:space="preserve">MR-2026-006</t>
  </si>
  <si>
    <t xml:space="preserve">MR-2026-007</t>
  </si>
  <si>
    <t xml:space="preserve">Redwood Specialty</t>
  </si>
  <si>
    <t xml:space="preserve">Marine &amp; Energy</t>
  </si>
  <si>
    <t xml:space="preserve">Surplus Share</t>
  </si>
  <si>
    <t xml:space="preserve">Gallagher Re</t>
  </si>
  <si>
    <t xml:space="preserve">MR-2026-008</t>
  </si>
  <si>
    <t xml:space="preserve">Aurora Life &amp; Annuity</t>
  </si>
  <si>
    <t xml:space="preserve">Life</t>
  </si>
  <si>
    <t xml:space="preserve">2028-12-31</t>
  </si>
  <si>
    <t xml:space="preserve">Direct</t>
  </si>
  <si>
    <t xml:space="preserve">MR-2026-009</t>
  </si>
  <si>
    <t xml:space="preserve">Summit Auto Group</t>
  </si>
  <si>
    <t xml:space="preserve">Motor</t>
  </si>
  <si>
    <t xml:space="preserve">MR-2026-010</t>
  </si>
  <si>
    <t xml:space="preserve">Heartland Farm Bureau</t>
  </si>
  <si>
    <t xml:space="preserve">Agriculture</t>
  </si>
  <si>
    <t xml:space="preserve">Stop Loss</t>
  </si>
  <si>
    <t xml:space="preserve">MR-2025-011</t>
  </si>
  <si>
    <t xml:space="preserve">2025-01-01</t>
  </si>
  <si>
    <t xml:space="preserve">2025-12-31</t>
  </si>
  <si>
    <t xml:space="preserve">Expired</t>
  </si>
  <si>
    <t xml:space="preserve">MR-2025-012</t>
  </si>
  <si>
    <t xml:space="preserve">Vanguard Cyber Insurance</t>
  </si>
  <si>
    <t xml:space="preserve">Cyber</t>
  </si>
  <si>
    <t xml:space="preserve">2025-07-01</t>
  </si>
  <si>
    <t xml:space="preserve">2026-06-30</t>
  </si>
  <si>
    <t xml:space="preserve">MR-2026-013</t>
  </si>
  <si>
    <t xml:space="preserve">Meridian Retro Partners</t>
  </si>
  <si>
    <t xml:space="preserve">Retrocession</t>
  </si>
  <si>
    <t xml:space="preserve">MR-2026-014</t>
  </si>
  <si>
    <t xml:space="preserve">Blue Harbor Marine</t>
  </si>
  <si>
    <t xml:space="preserve">Per Event XL</t>
  </si>
  <si>
    <t xml:space="preserve">2026-04-01</t>
  </si>
  <si>
    <t xml:space="preserve">2027-03-31</t>
  </si>
  <si>
    <t xml:space="preserve">MR-2026-015</t>
  </si>
  <si>
    <t xml:space="preserve">Sentinel Workers Comp</t>
  </si>
  <si>
    <t xml:space="preserve">Workers Compensation</t>
  </si>
  <si>
    <t xml:space="preserve">Pending Signing</t>
  </si>
  <si>
    <t xml:space="preserve">Total</t>
  </si>
  <si>
    <t xml:space="preserve">Claim Ref</t>
  </si>
  <si>
    <t xml:space="preserve">Event / Cause of Loss</t>
  </si>
  <si>
    <t xml:space="preserve">Date of Loss</t>
  </si>
  <si>
    <t xml:space="preserve">Gross Incurred ($m)</t>
  </si>
  <si>
    <t xml:space="preserve">Ceded Incurred ($m)</t>
  </si>
  <si>
    <t xml:space="preserve">Paid to Date ($m)</t>
  </si>
  <si>
    <t xml:space="preserve">Outstanding Reserve ($m)</t>
  </si>
  <si>
    <t xml:space="preserve">Claim Status</t>
  </si>
  <si>
    <t xml:space="preserve">CLM-26-0001</t>
  </si>
  <si>
    <t xml:space="preserve">Hurricane Odette - FL wind</t>
  </si>
  <si>
    <t xml:space="preserve">2026-06-14</t>
  </si>
  <si>
    <t xml:space="preserve">Open</t>
  </si>
  <si>
    <t xml:space="preserve">CLM-26-0002</t>
  </si>
  <si>
    <t xml:space="preserve">CLM-26-0003</t>
  </si>
  <si>
    <t xml:space="preserve">CLM-26-0004</t>
  </si>
  <si>
    <t xml:space="preserve">GL liability - construction defect</t>
  </si>
  <si>
    <t xml:space="preserve">2026-02-03</t>
  </si>
  <si>
    <t xml:space="preserve">CLM-26-0005</t>
  </si>
  <si>
    <t xml:space="preserve">Umbrella loss - auto fleet</t>
  </si>
  <si>
    <t xml:space="preserve">2026-03-18</t>
  </si>
  <si>
    <t xml:space="preserve">Closed</t>
  </si>
  <si>
    <t xml:space="preserve">CLM-26-0006</t>
  </si>
  <si>
    <t xml:space="preserve">Kitchen fire - single dwelling</t>
  </si>
  <si>
    <t xml:space="preserve">2026-07-01</t>
  </si>
  <si>
    <t xml:space="preserve">CLM-26-0007</t>
  </si>
  <si>
    <t xml:space="preserve">Cargo loss - container vessel grounding</t>
  </si>
  <si>
    <t xml:space="preserve">2026-04-22</t>
  </si>
  <si>
    <t xml:space="preserve">CLM-25-0008</t>
  </si>
  <si>
    <t xml:space="preserve">Severe convective storm - TX hail</t>
  </si>
  <si>
    <t xml:space="preserve">2025-05-09</t>
  </si>
  <si>
    <t xml:space="preserve">CLM-26-0009</t>
  </si>
  <si>
    <t xml:space="preserve">Ransomware event - retail client</t>
  </si>
  <si>
    <t xml:space="preserve">2026-01-27</t>
  </si>
  <si>
    <t xml:space="preserve">CLM-26-0010</t>
  </si>
  <si>
    <t xml:space="preserve">Multi-vehicle bodily injury</t>
  </si>
  <si>
    <t xml:space="preserve">2026-02-15</t>
  </si>
  <si>
    <t xml:space="preserve">CLM-26-0011</t>
  </si>
  <si>
    <t xml:space="preserve">Drought - crop yield shortfall</t>
  </si>
  <si>
    <t xml:space="preserve">2026-08-30</t>
  </si>
  <si>
    <t xml:space="preserve">CLM-26-0012</t>
  </si>
  <si>
    <t xml:space="preserve">Offshore platform equipment damage</t>
  </si>
  <si>
    <t xml:space="preserve">2026-05-11</t>
  </si>
  <si>
    <t xml:space="preserve">Meridian Re (Bermuda) Ltd — 2026 Portfolio Summary (Synthetic Training Data)</t>
  </si>
  <si>
    <t xml:space="preserve">Number of treaties in register</t>
  </si>
  <si>
    <t xml:space="preserve">Total gross premium written by cedents ($m)</t>
  </si>
  <si>
    <t xml:space="preserve">Total ceded premium to Meridian Re ($m)</t>
  </si>
  <si>
    <t xml:space="preserve">Total ceded incurred losses ($m)</t>
  </si>
  <si>
    <t xml:space="preserve">Total paid losses to date ($m)</t>
  </si>
  <si>
    <t xml:space="preserve">Total outstanding reserves ($m)</t>
  </si>
  <si>
    <t xml:space="preserve">Portfolio incurred loss ratio (ceded incurred / ceded premium)</t>
  </si>
  <si>
    <t xml:space="preserve">Open claims count</t>
  </si>
  <si>
    <t xml:space="preserve">Note: All names, figures and events are fictional and generated for training purposes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</si>
</sst>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#,##0.00;\(#,##0.0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n">
        <v>42</v>
      </c>
      <c r="I2" s="3" t="n">
        <v>8.5</v>
      </c>
      <c r="J2" s="4" t="n">
        <f aca="false">H2*I2/100</f>
        <v>3.57</v>
      </c>
      <c r="K2" s="3" t="n">
        <v>150</v>
      </c>
      <c r="L2" s="3" t="n">
        <v>25</v>
      </c>
      <c r="M2" s="2" t="s">
        <v>21</v>
      </c>
      <c r="N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 t="n">
        <v>61.5</v>
      </c>
      <c r="I3" s="3" t="n">
        <v>7.2</v>
      </c>
      <c r="J3" s="4" t="n">
        <f aca="false">H3*I3/100</f>
        <v>4.428</v>
      </c>
      <c r="K3" s="3" t="n">
        <v>200</v>
      </c>
      <c r="L3" s="3" t="n">
        <v>40</v>
      </c>
      <c r="M3" s="2" t="s">
        <v>25</v>
      </c>
      <c r="N3" s="2" t="s">
        <v>22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19</v>
      </c>
      <c r="G4" s="2" t="s">
        <v>20</v>
      </c>
      <c r="H4" s="3" t="n">
        <v>88</v>
      </c>
      <c r="I4" s="3" t="n">
        <v>30</v>
      </c>
      <c r="J4" s="4" t="n">
        <f aca="false">H4*I4/100</f>
        <v>26.4</v>
      </c>
      <c r="K4" s="3" t="n">
        <v>0</v>
      </c>
      <c r="L4" s="3" t="n">
        <v>0</v>
      </c>
      <c r="M4" s="2" t="s">
        <v>31</v>
      </c>
      <c r="N4" s="2" t="s">
        <v>22</v>
      </c>
    </row>
    <row r="5" customFormat="false" ht="15" hidden="false" customHeight="false" outlineLevel="0" collapsed="false">
      <c r="A5" s="2" t="s">
        <v>32</v>
      </c>
      <c r="B5" s="2" t="s">
        <v>27</v>
      </c>
      <c r="C5" s="2" t="s">
        <v>28</v>
      </c>
      <c r="D5" s="2" t="s">
        <v>17</v>
      </c>
      <c r="E5" s="2" t="s">
        <v>33</v>
      </c>
      <c r="F5" s="2" t="s">
        <v>19</v>
      </c>
      <c r="G5" s="2" t="s">
        <v>20</v>
      </c>
      <c r="H5" s="3" t="n">
        <v>24</v>
      </c>
      <c r="I5" s="3" t="n">
        <v>11</v>
      </c>
      <c r="J5" s="4" t="n">
        <f aca="false">H5*I5/100</f>
        <v>2.64</v>
      </c>
      <c r="K5" s="3" t="n">
        <v>20</v>
      </c>
      <c r="L5" s="3" t="n">
        <v>5</v>
      </c>
      <c r="M5" s="2" t="s">
        <v>31</v>
      </c>
      <c r="N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29</v>
      </c>
      <c r="E6" s="2" t="s">
        <v>30</v>
      </c>
      <c r="F6" s="2" t="s">
        <v>37</v>
      </c>
      <c r="G6" s="2" t="s">
        <v>38</v>
      </c>
      <c r="H6" s="3" t="n">
        <v>120</v>
      </c>
      <c r="I6" s="3" t="n">
        <v>25</v>
      </c>
      <c r="J6" s="4" t="n">
        <f aca="false">H6*I6/100</f>
        <v>30</v>
      </c>
      <c r="K6" s="3" t="n">
        <v>0</v>
      </c>
      <c r="L6" s="3" t="n">
        <v>0</v>
      </c>
      <c r="M6" s="2" t="s">
        <v>21</v>
      </c>
      <c r="N6" s="2" t="s">
        <v>22</v>
      </c>
    </row>
    <row r="7" customFormat="false" ht="15" hidden="false" customHeight="false" outlineLevel="0" collapsed="false">
      <c r="A7" s="2" t="s">
        <v>39</v>
      </c>
      <c r="B7" s="2" t="s">
        <v>35</v>
      </c>
      <c r="C7" s="2" t="s">
        <v>16</v>
      </c>
      <c r="D7" s="2" t="s">
        <v>17</v>
      </c>
      <c r="E7" s="2" t="s">
        <v>18</v>
      </c>
      <c r="F7" s="2" t="s">
        <v>37</v>
      </c>
      <c r="G7" s="2" t="s">
        <v>38</v>
      </c>
      <c r="H7" s="3" t="n">
        <v>35</v>
      </c>
      <c r="I7" s="3" t="n">
        <v>9.8</v>
      </c>
      <c r="J7" s="4" t="n">
        <f aca="false">H7*I7/100</f>
        <v>3.43</v>
      </c>
      <c r="K7" s="3" t="n">
        <v>100</v>
      </c>
      <c r="L7" s="3" t="n">
        <v>15</v>
      </c>
      <c r="M7" s="2" t="s">
        <v>21</v>
      </c>
      <c r="N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29</v>
      </c>
      <c r="E8" s="2" t="s">
        <v>43</v>
      </c>
      <c r="F8" s="2" t="s">
        <v>19</v>
      </c>
      <c r="G8" s="2" t="s">
        <v>20</v>
      </c>
      <c r="H8" s="3" t="n">
        <v>46</v>
      </c>
      <c r="I8" s="3" t="n">
        <v>40</v>
      </c>
      <c r="J8" s="4" t="n">
        <f aca="false">H8*I8/100</f>
        <v>18.4</v>
      </c>
      <c r="K8" s="3" t="n">
        <v>0</v>
      </c>
      <c r="L8" s="3" t="n">
        <v>0</v>
      </c>
      <c r="M8" s="2" t="s">
        <v>44</v>
      </c>
      <c r="N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29</v>
      </c>
      <c r="E9" s="2" t="s">
        <v>30</v>
      </c>
      <c r="F9" s="2" t="s">
        <v>19</v>
      </c>
      <c r="G9" s="2" t="s">
        <v>48</v>
      </c>
      <c r="H9" s="3" t="n">
        <v>95</v>
      </c>
      <c r="I9" s="3" t="n">
        <v>50</v>
      </c>
      <c r="J9" s="4" t="n">
        <f aca="false">H9*I9/100</f>
        <v>47.5</v>
      </c>
      <c r="K9" s="3" t="n">
        <v>0</v>
      </c>
      <c r="L9" s="3" t="n">
        <v>0</v>
      </c>
      <c r="M9" s="2" t="s">
        <v>49</v>
      </c>
      <c r="N9" s="2" t="s">
        <v>22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17</v>
      </c>
      <c r="E10" s="2" t="s">
        <v>33</v>
      </c>
      <c r="F10" s="2" t="s">
        <v>19</v>
      </c>
      <c r="G10" s="2" t="s">
        <v>20</v>
      </c>
      <c r="H10" s="3" t="n">
        <v>18.5</v>
      </c>
      <c r="I10" s="3" t="n">
        <v>6.5</v>
      </c>
      <c r="J10" s="4" t="n">
        <f aca="false">H10*I10/100</f>
        <v>1.2025</v>
      </c>
      <c r="K10" s="3" t="n">
        <v>10</v>
      </c>
      <c r="L10" s="3" t="n">
        <v>2</v>
      </c>
      <c r="M10" s="2" t="s">
        <v>25</v>
      </c>
      <c r="N10" s="2" t="s">
        <v>22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29</v>
      </c>
      <c r="E11" s="2" t="s">
        <v>56</v>
      </c>
      <c r="F11" s="2" t="s">
        <v>19</v>
      </c>
      <c r="G11" s="2" t="s">
        <v>20</v>
      </c>
      <c r="H11" s="3" t="n">
        <v>52</v>
      </c>
      <c r="I11" s="3" t="n">
        <v>12</v>
      </c>
      <c r="J11" s="4" t="n">
        <f aca="false">H11*I11/100</f>
        <v>6.24</v>
      </c>
      <c r="K11" s="3" t="n">
        <v>60</v>
      </c>
      <c r="L11" s="3" t="n">
        <v>0</v>
      </c>
      <c r="M11" s="2" t="s">
        <v>44</v>
      </c>
      <c r="N11" s="2" t="s">
        <v>22</v>
      </c>
    </row>
    <row r="12" customFormat="false" ht="15" hidden="false" customHeight="false" outlineLevel="0" collapsed="false">
      <c r="A12" s="2" t="s">
        <v>57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58</v>
      </c>
      <c r="G12" s="2" t="s">
        <v>59</v>
      </c>
      <c r="H12" s="3" t="n">
        <v>39</v>
      </c>
      <c r="I12" s="3" t="n">
        <v>8</v>
      </c>
      <c r="J12" s="4" t="n">
        <f aca="false">H12*I12/100</f>
        <v>3.12</v>
      </c>
      <c r="K12" s="3" t="n">
        <v>150</v>
      </c>
      <c r="L12" s="3" t="n">
        <v>25</v>
      </c>
      <c r="M12" s="2" t="s">
        <v>21</v>
      </c>
      <c r="N12" s="2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29</v>
      </c>
      <c r="E13" s="2" t="s">
        <v>30</v>
      </c>
      <c r="F13" s="2" t="s">
        <v>64</v>
      </c>
      <c r="G13" s="2" t="s">
        <v>65</v>
      </c>
      <c r="H13" s="3" t="n">
        <v>28</v>
      </c>
      <c r="I13" s="3" t="n">
        <v>35</v>
      </c>
      <c r="J13" s="4" t="n">
        <f aca="false">H13*I13/100</f>
        <v>9.8</v>
      </c>
      <c r="K13" s="3" t="n">
        <v>0</v>
      </c>
      <c r="L13" s="3" t="n">
        <v>0</v>
      </c>
      <c r="M13" s="2" t="s">
        <v>31</v>
      </c>
      <c r="N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17</v>
      </c>
      <c r="E14" s="2" t="s">
        <v>18</v>
      </c>
      <c r="F14" s="2" t="s">
        <v>19</v>
      </c>
      <c r="G14" s="2" t="s">
        <v>20</v>
      </c>
      <c r="H14" s="3" t="n">
        <v>15</v>
      </c>
      <c r="I14" s="3" t="n">
        <v>14</v>
      </c>
      <c r="J14" s="4" t="n">
        <f aca="false">H14*I14/100</f>
        <v>2.1</v>
      </c>
      <c r="K14" s="3" t="n">
        <v>75</v>
      </c>
      <c r="L14" s="3" t="n">
        <v>30</v>
      </c>
      <c r="M14" s="2" t="s">
        <v>25</v>
      </c>
      <c r="N14" s="2" t="s">
        <v>22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42</v>
      </c>
      <c r="D15" s="2" t="s">
        <v>17</v>
      </c>
      <c r="E15" s="2" t="s">
        <v>71</v>
      </c>
      <c r="F15" s="2" t="s">
        <v>72</v>
      </c>
      <c r="G15" s="2" t="s">
        <v>73</v>
      </c>
      <c r="H15" s="3" t="n">
        <v>22</v>
      </c>
      <c r="I15" s="3" t="n">
        <v>10.5</v>
      </c>
      <c r="J15" s="4" t="n">
        <f aca="false">H15*I15/100</f>
        <v>2.31</v>
      </c>
      <c r="K15" s="3" t="n">
        <v>45</v>
      </c>
      <c r="L15" s="3" t="n">
        <v>8</v>
      </c>
      <c r="M15" s="2" t="s">
        <v>44</v>
      </c>
      <c r="N15" s="2" t="s">
        <v>22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17</v>
      </c>
      <c r="E16" s="2" t="s">
        <v>33</v>
      </c>
      <c r="F16" s="2" t="s">
        <v>19</v>
      </c>
      <c r="G16" s="2" t="s">
        <v>20</v>
      </c>
      <c r="H16" s="3" t="n">
        <v>33</v>
      </c>
      <c r="I16" s="3" t="n">
        <v>7.8</v>
      </c>
      <c r="J16" s="4" t="n">
        <f aca="false">H16*I16/100</f>
        <v>2.574</v>
      </c>
      <c r="K16" s="3" t="n">
        <v>25</v>
      </c>
      <c r="L16" s="3" t="n">
        <v>5</v>
      </c>
      <c r="M16" s="2" t="s">
        <v>21</v>
      </c>
      <c r="N16" s="2" t="s">
        <v>77</v>
      </c>
    </row>
    <row r="17" customFormat="false" ht="15" hidden="false" customHeight="false" outlineLevel="0" collapsed="false">
      <c r="G17" s="5" t="s">
        <v>78</v>
      </c>
      <c r="H17" s="6" t="n">
        <f aca="false">SUM(H2:H16)</f>
        <v>719</v>
      </c>
      <c r="J17" s="6" t="n">
        <f aca="false">SUM(J2:J16)</f>
        <v>163.7145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1" t="s">
        <v>79</v>
      </c>
      <c r="B1" s="1" t="s">
        <v>0</v>
      </c>
      <c r="C1" s="1" t="s">
        <v>1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customFormat="false" ht="15" hidden="false" customHeight="false" outlineLevel="0" collapsed="false">
      <c r="A2" s="2" t="s">
        <v>87</v>
      </c>
      <c r="B2" s="2" t="s">
        <v>14</v>
      </c>
      <c r="C2" s="2" t="s">
        <v>15</v>
      </c>
      <c r="D2" s="2" t="s">
        <v>88</v>
      </c>
      <c r="E2" s="2" t="s">
        <v>89</v>
      </c>
      <c r="F2" s="7" t="n">
        <v>68</v>
      </c>
      <c r="G2" s="7" t="n">
        <v>31</v>
      </c>
      <c r="H2" s="7" t="n">
        <v>12.5</v>
      </c>
      <c r="I2" s="8" t="n">
        <f aca="false">G2-H2</f>
        <v>18.5</v>
      </c>
      <c r="J2" s="2" t="s">
        <v>90</v>
      </c>
    </row>
    <row r="3" customFormat="false" ht="15" hidden="false" customHeight="false" outlineLevel="0" collapsed="false">
      <c r="A3" s="2" t="s">
        <v>91</v>
      </c>
      <c r="B3" s="2" t="s">
        <v>23</v>
      </c>
      <c r="C3" s="2" t="s">
        <v>24</v>
      </c>
      <c r="D3" s="2" t="s">
        <v>88</v>
      </c>
      <c r="E3" s="2" t="s">
        <v>89</v>
      </c>
      <c r="F3" s="7" t="n">
        <v>44</v>
      </c>
      <c r="G3" s="7" t="n">
        <v>18</v>
      </c>
      <c r="H3" s="7" t="n">
        <v>6</v>
      </c>
      <c r="I3" s="8" t="n">
        <f aca="false">G3-H3</f>
        <v>12</v>
      </c>
      <c r="J3" s="2" t="s">
        <v>90</v>
      </c>
    </row>
    <row r="4" customFormat="false" ht="15" hidden="false" customHeight="false" outlineLevel="0" collapsed="false">
      <c r="A4" s="2" t="s">
        <v>92</v>
      </c>
      <c r="B4" s="2" t="s">
        <v>39</v>
      </c>
      <c r="C4" s="2" t="s">
        <v>35</v>
      </c>
      <c r="D4" s="2" t="s">
        <v>88</v>
      </c>
      <c r="E4" s="2" t="s">
        <v>89</v>
      </c>
      <c r="F4" s="7" t="n">
        <v>91</v>
      </c>
      <c r="G4" s="7" t="n">
        <v>55</v>
      </c>
      <c r="H4" s="7" t="n">
        <v>20</v>
      </c>
      <c r="I4" s="8" t="n">
        <f aca="false">G4-H4</f>
        <v>35</v>
      </c>
      <c r="J4" s="2" t="s">
        <v>90</v>
      </c>
    </row>
    <row r="5" customFormat="false" ht="15" hidden="false" customHeight="false" outlineLevel="0" collapsed="false">
      <c r="A5" s="2" t="s">
        <v>93</v>
      </c>
      <c r="B5" s="2" t="s">
        <v>26</v>
      </c>
      <c r="C5" s="2" t="s">
        <v>27</v>
      </c>
      <c r="D5" s="2" t="s">
        <v>94</v>
      </c>
      <c r="E5" s="2" t="s">
        <v>95</v>
      </c>
      <c r="F5" s="7" t="n">
        <v>9.5</v>
      </c>
      <c r="G5" s="7" t="n">
        <v>2.85</v>
      </c>
      <c r="H5" s="7" t="n">
        <v>1.1</v>
      </c>
      <c r="I5" s="8" t="n">
        <f aca="false">G5-H5</f>
        <v>1.75</v>
      </c>
      <c r="J5" s="2" t="s">
        <v>90</v>
      </c>
    </row>
    <row r="6" customFormat="false" ht="15" hidden="false" customHeight="false" outlineLevel="0" collapsed="false">
      <c r="A6" s="2" t="s">
        <v>96</v>
      </c>
      <c r="B6" s="2" t="s">
        <v>32</v>
      </c>
      <c r="C6" s="2" t="s">
        <v>27</v>
      </c>
      <c r="D6" s="2" t="s">
        <v>97</v>
      </c>
      <c r="E6" s="2" t="s">
        <v>98</v>
      </c>
      <c r="F6" s="7" t="n">
        <v>12</v>
      </c>
      <c r="G6" s="7" t="n">
        <v>7</v>
      </c>
      <c r="H6" s="7" t="n">
        <v>7</v>
      </c>
      <c r="I6" s="8" t="n">
        <f aca="false">G6-H6</f>
        <v>0</v>
      </c>
      <c r="J6" s="2" t="s">
        <v>99</v>
      </c>
    </row>
    <row r="7" customFormat="false" ht="15" hidden="false" customHeight="false" outlineLevel="0" collapsed="false">
      <c r="A7" s="2" t="s">
        <v>100</v>
      </c>
      <c r="B7" s="2" t="s">
        <v>34</v>
      </c>
      <c r="C7" s="2" t="s">
        <v>35</v>
      </c>
      <c r="D7" s="2" t="s">
        <v>101</v>
      </c>
      <c r="E7" s="2" t="s">
        <v>102</v>
      </c>
      <c r="F7" s="7" t="n">
        <v>0.8</v>
      </c>
      <c r="G7" s="7" t="n">
        <v>0.2</v>
      </c>
      <c r="H7" s="7" t="n">
        <v>0</v>
      </c>
      <c r="I7" s="8" t="n">
        <f aca="false">G7-H7</f>
        <v>0.2</v>
      </c>
      <c r="J7" s="2" t="s">
        <v>90</v>
      </c>
    </row>
    <row r="8" customFormat="false" ht="15" hidden="false" customHeight="false" outlineLevel="0" collapsed="false">
      <c r="A8" s="2" t="s">
        <v>103</v>
      </c>
      <c r="B8" s="2" t="s">
        <v>40</v>
      </c>
      <c r="C8" s="2" t="s">
        <v>41</v>
      </c>
      <c r="D8" s="2" t="s">
        <v>104</v>
      </c>
      <c r="E8" s="2" t="s">
        <v>105</v>
      </c>
      <c r="F8" s="7" t="n">
        <v>16</v>
      </c>
      <c r="G8" s="7" t="n">
        <v>6.4</v>
      </c>
      <c r="H8" s="7" t="n">
        <v>2</v>
      </c>
      <c r="I8" s="8" t="n">
        <f aca="false">G8-H8</f>
        <v>4.4</v>
      </c>
      <c r="J8" s="2" t="s">
        <v>90</v>
      </c>
    </row>
    <row r="9" customFormat="false" ht="15" hidden="false" customHeight="false" outlineLevel="0" collapsed="false">
      <c r="A9" s="2" t="s">
        <v>106</v>
      </c>
      <c r="B9" s="2" t="s">
        <v>57</v>
      </c>
      <c r="C9" s="2" t="s">
        <v>15</v>
      </c>
      <c r="D9" s="2" t="s">
        <v>107</v>
      </c>
      <c r="E9" s="2" t="s">
        <v>108</v>
      </c>
      <c r="F9" s="7" t="n">
        <v>52</v>
      </c>
      <c r="G9" s="7" t="n">
        <v>21</v>
      </c>
      <c r="H9" s="7" t="n">
        <v>21</v>
      </c>
      <c r="I9" s="8" t="n">
        <f aca="false">G9-H9</f>
        <v>0</v>
      </c>
      <c r="J9" s="2" t="s">
        <v>99</v>
      </c>
    </row>
    <row r="10" customFormat="false" ht="15" hidden="false" customHeight="false" outlineLevel="0" collapsed="false">
      <c r="A10" s="2" t="s">
        <v>109</v>
      </c>
      <c r="B10" s="2" t="s">
        <v>61</v>
      </c>
      <c r="C10" s="2" t="s">
        <v>62</v>
      </c>
      <c r="D10" s="2" t="s">
        <v>110</v>
      </c>
      <c r="E10" s="2" t="s">
        <v>111</v>
      </c>
      <c r="F10" s="7" t="n">
        <v>7.2</v>
      </c>
      <c r="G10" s="7" t="n">
        <v>2.5</v>
      </c>
      <c r="H10" s="7" t="n">
        <v>0.9</v>
      </c>
      <c r="I10" s="8" t="n">
        <f aca="false">G10-H10</f>
        <v>1.6</v>
      </c>
      <c r="J10" s="2" t="s">
        <v>90</v>
      </c>
    </row>
    <row r="11" customFormat="false" ht="15" hidden="false" customHeight="false" outlineLevel="0" collapsed="false">
      <c r="A11" s="2" t="s">
        <v>112</v>
      </c>
      <c r="B11" s="2" t="s">
        <v>50</v>
      </c>
      <c r="C11" s="2" t="s">
        <v>51</v>
      </c>
      <c r="D11" s="2" t="s">
        <v>113</v>
      </c>
      <c r="E11" s="2" t="s">
        <v>114</v>
      </c>
      <c r="F11" s="7" t="n">
        <v>4.5</v>
      </c>
      <c r="G11" s="7" t="n">
        <v>2.5</v>
      </c>
      <c r="H11" s="7" t="n">
        <v>0.5</v>
      </c>
      <c r="I11" s="8" t="n">
        <f aca="false">G11-H11</f>
        <v>2</v>
      </c>
      <c r="J11" s="2" t="s">
        <v>90</v>
      </c>
    </row>
    <row r="12" customFormat="false" ht="15" hidden="false" customHeight="false" outlineLevel="0" collapsed="false">
      <c r="A12" s="2" t="s">
        <v>115</v>
      </c>
      <c r="B12" s="2" t="s">
        <v>53</v>
      </c>
      <c r="C12" s="2" t="s">
        <v>54</v>
      </c>
      <c r="D12" s="2" t="s">
        <v>116</v>
      </c>
      <c r="E12" s="2" t="s">
        <v>117</v>
      </c>
      <c r="F12" s="7" t="n">
        <v>30</v>
      </c>
      <c r="G12" s="7" t="n">
        <v>3.6</v>
      </c>
      <c r="H12" s="7" t="n">
        <v>0</v>
      </c>
      <c r="I12" s="8" t="n">
        <f aca="false">G12-H12</f>
        <v>3.6</v>
      </c>
      <c r="J12" s="2" t="s">
        <v>90</v>
      </c>
    </row>
    <row r="13" customFormat="false" ht="15" hidden="false" customHeight="false" outlineLevel="0" collapsed="false">
      <c r="A13" s="2" t="s">
        <v>118</v>
      </c>
      <c r="B13" s="2" t="s">
        <v>69</v>
      </c>
      <c r="C13" s="2" t="s">
        <v>70</v>
      </c>
      <c r="D13" s="2" t="s">
        <v>119</v>
      </c>
      <c r="E13" s="2" t="s">
        <v>120</v>
      </c>
      <c r="F13" s="7" t="n">
        <v>19</v>
      </c>
      <c r="G13" s="7" t="n">
        <v>11</v>
      </c>
      <c r="H13" s="7" t="n">
        <v>3</v>
      </c>
      <c r="I13" s="8" t="n">
        <f aca="false">G13-H13</f>
        <v>8</v>
      </c>
      <c r="J13" s="2" t="s">
        <v>90</v>
      </c>
    </row>
    <row r="14" customFormat="false" ht="15" hidden="false" customHeight="false" outlineLevel="0" collapsed="false">
      <c r="E14" s="5" t="s">
        <v>78</v>
      </c>
      <c r="F14" s="9" t="n">
        <f aca="false">SUM(F2:F13)</f>
        <v>354</v>
      </c>
      <c r="G14" s="9" t="n">
        <f aca="false">SUM(G2:G13)</f>
        <v>161.05</v>
      </c>
      <c r="H14" s="9" t="n">
        <f aca="false">SUM(H2:H13)</f>
        <v>74</v>
      </c>
      <c r="I14" s="9" t="n">
        <f aca="false">SUM(I2:I13)</f>
        <v>87.05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0" t="s">
        <v>121</v>
      </c>
    </row>
    <row r="3" customFormat="false" ht="15" hidden="false" customHeight="false" outlineLevel="0" collapsed="false">
      <c r="A3" s="11" t="s">
        <v>122</v>
      </c>
      <c r="B3" s="12" t="n">
        <f aca="false">COUNTA('Treaty Register'!A2:A16)</f>
        <v>15</v>
      </c>
    </row>
    <row r="4" customFormat="false" ht="15" hidden="false" customHeight="false" outlineLevel="0" collapsed="false">
      <c r="A4" s="11" t="s">
        <v>123</v>
      </c>
      <c r="B4" s="12" t="n">
        <f aca="false">'Treaty Register'!H17</f>
        <v>719</v>
      </c>
    </row>
    <row r="5" customFormat="false" ht="15" hidden="false" customHeight="false" outlineLevel="0" collapsed="false">
      <c r="A5" s="11" t="s">
        <v>124</v>
      </c>
      <c r="B5" s="12" t="n">
        <f aca="false">'Treaty Register'!J17</f>
        <v>163.7145</v>
      </c>
    </row>
    <row r="6" customFormat="false" ht="15" hidden="false" customHeight="false" outlineLevel="0" collapsed="false">
      <c r="A6" s="11" t="s">
        <v>125</v>
      </c>
      <c r="B6" s="12" t="n">
        <f aca="false">'Claims Bordereau'!G14</f>
        <v>161.05</v>
      </c>
    </row>
    <row r="7" customFormat="false" ht="15" hidden="false" customHeight="false" outlineLevel="0" collapsed="false">
      <c r="A7" s="11" t="s">
        <v>126</v>
      </c>
      <c r="B7" s="12" t="n">
        <f aca="false">'Claims Bordereau'!H14</f>
        <v>74</v>
      </c>
    </row>
    <row r="8" customFormat="false" ht="15" hidden="false" customHeight="false" outlineLevel="0" collapsed="false">
      <c r="A8" s="11" t="s">
        <v>127</v>
      </c>
      <c r="B8" s="12" t="n">
        <f aca="false">'Claims Bordereau'!I14</f>
        <v>87.05</v>
      </c>
    </row>
    <row r="9" customFormat="false" ht="15" hidden="false" customHeight="false" outlineLevel="0" collapsed="false">
      <c r="A9" s="11" t="s">
        <v>128</v>
      </c>
      <c r="B9" s="13" t="n">
        <f aca="false">'Claims Bordereau'!G14/'Treaty Register'!J17</f>
        <v>0.983724715892606</v>
      </c>
    </row>
    <row r="10" customFormat="false" ht="15" hidden="false" customHeight="false" outlineLevel="0" collapsed="false">
      <c r="A10" s="11" t="s">
        <v>129</v>
      </c>
      <c r="B10" s="12" t="n">
        <f aca="false">COUNTIF('Claims Bordereau'!J2:J13,"Open")</f>
        <v>10</v>
      </c>
    </row>
    <row r="12" customFormat="false" ht="15" hidden="false" customHeight="false" outlineLevel="0" collapsed="false">
      <c r="A12" s="1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2026-07-05T19:57:59Z</dcterms:created>
  <dc:creator>openpyxl</dc:creator>
  <dc:description/>
  <dc:language>en-US</dc:language>
  <cp:lastModifiedBy/>
  <dcterms:modified xsi:type="dcterms:W3CDTF">2026-07-05T19:57:59Z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